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cuments\"/>
    </mc:Choice>
  </mc:AlternateContent>
  <xr:revisionPtr revIDLastSave="0" documentId="8_{B04A3A84-FA98-427A-B018-5E38DB678DBB}" xr6:coauthVersionLast="47" xr6:coauthVersionMax="47" xr10:uidLastSave="{00000000-0000-0000-0000-000000000000}"/>
  <bookViews>
    <workbookView xWindow="14295" yWindow="0" windowWidth="14610" windowHeight="15585" xr2:uid="{EEAD0CFC-AEFC-48AE-AC36-D956BCBCEB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B17" i="1"/>
  <c r="C14" i="1"/>
  <c r="D14" i="1"/>
  <c r="E14" i="1"/>
  <c r="F14" i="1"/>
  <c r="G14" i="1"/>
  <c r="B14" i="1"/>
  <c r="C16" i="1"/>
  <c r="D16" i="1"/>
  <c r="E16" i="1"/>
  <c r="F16" i="1"/>
  <c r="G16" i="1"/>
  <c r="B16" i="1"/>
  <c r="H8" i="1"/>
  <c r="H10" i="1"/>
  <c r="D11" i="1"/>
  <c r="E11" i="1"/>
  <c r="F11" i="1"/>
  <c r="G11" i="1"/>
  <c r="B11" i="1"/>
  <c r="C11" i="1"/>
  <c r="E10" i="1"/>
  <c r="D10" i="1"/>
  <c r="F10" i="1"/>
  <c r="G10" i="1"/>
  <c r="B10" i="1"/>
  <c r="C10" i="1"/>
  <c r="B9" i="1"/>
  <c r="D9" i="1"/>
  <c r="E9" i="1"/>
  <c r="F9" i="1"/>
  <c r="G9" i="1"/>
  <c r="C8" i="1"/>
  <c r="C9" i="1"/>
</calcChain>
</file>

<file path=xl/sharedStrings.xml><?xml version="1.0" encoding="utf-8"?>
<sst xmlns="http://schemas.openxmlformats.org/spreadsheetml/2006/main" count="34" uniqueCount="9">
  <si>
    <t>BASE</t>
  </si>
  <si>
    <t>X1</t>
  </si>
  <si>
    <t>X2</t>
  </si>
  <si>
    <t>F1</t>
  </si>
  <si>
    <t>F2</t>
  </si>
  <si>
    <t>F3</t>
  </si>
  <si>
    <t>B</t>
  </si>
  <si>
    <t>Z</t>
  </si>
  <si>
    <t>B /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</si>
</sst>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27"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D52463-BA5D-4398-9468-89A33F5C035B}" name="Tabela1" displayName="Tabela1" ref="A1:G5" totalsRowShown="0" headerRowDxfId="26" dataDxfId="25">
  <autoFilter ref="A1:G5" xr:uid="{79D52463-BA5D-4398-9468-89A33F5C035B}"/>
  <tableColumns count="7">
    <tableColumn id="1" xr3:uid="{A5540A36-D31F-445E-B5D1-11AACAEE0E0A}" name="BASE" dataDxfId="24"/>
    <tableColumn id="2" xr3:uid="{85F8F24E-24DA-40B8-8A93-2D4FE5CC0D47}" name="X1" dataDxfId="23"/>
    <tableColumn id="3" xr3:uid="{909FB8E4-15D3-47AB-A5A0-084B7FA7769E}" name="X2" dataDxfId="22"/>
    <tableColumn id="4" xr3:uid="{5BFF5694-3E65-4265-8D21-3217A4C9BE1D}" name="F1" dataDxfId="21"/>
    <tableColumn id="5" xr3:uid="{1472B01B-2E5F-4B1B-BFDE-0DC5AA2BE58C}" name="F2" dataDxfId="20"/>
    <tableColumn id="6" xr3:uid="{522F0627-82B3-48D3-8F14-2FD517A6FBD5}" name="F3" dataDxfId="19"/>
    <tableColumn id="7" xr3:uid="{E02586DC-D95E-42CF-B172-F63BF358405A}" name="B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19577A-8AD2-4786-8EA8-4BB8A31526B6}" name="Tabela14" displayName="Tabela14" ref="A7:G11" totalsRowShown="0" headerRowDxfId="9" dataDxfId="8">
  <autoFilter ref="A7:G11" xr:uid="{8B19577A-8AD2-4786-8EA8-4BB8A31526B6}"/>
  <tableColumns count="7">
    <tableColumn id="1" xr3:uid="{C2D3D3FB-3280-4B9F-A60A-ED1F2E3EB8F2}" name="BASE" dataDxfId="7"/>
    <tableColumn id="2" xr3:uid="{E7D0D15B-FD2A-4FE1-B485-CB8577C23CE8}" name="X1" dataDxfId="6"/>
    <tableColumn id="3" xr3:uid="{13FA7924-AF07-4AD8-B440-D4CCCF109A03}" name="X2" dataDxfId="5">
      <calculatedColumnFormula>C2/2</calculatedColumnFormula>
    </tableColumn>
    <tableColumn id="4" xr3:uid="{4D6F6661-B743-496A-BF4A-101F07D94BF5}" name="F1" dataDxfId="4"/>
    <tableColumn id="5" xr3:uid="{850C5BEB-9D94-418D-911D-680DCF5C7119}" name="F2" dataDxfId="3"/>
    <tableColumn id="6" xr3:uid="{686FD084-F5DC-4A9C-8F64-4F539B165230}" name="F3" dataDxfId="2"/>
    <tableColumn id="7" xr3:uid="{8CA4E7AF-D03A-4DFB-A74F-2876605CA71C}" name="B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66E50B-9C60-4B74-874F-675B79F69419}" name="Tabela145" displayName="Tabela145" ref="A13:G17" totalsRowShown="0" headerRowDxfId="17" dataDxfId="16">
  <autoFilter ref="A13:G17" xr:uid="{0766E50B-9C60-4B74-874F-675B79F69419}"/>
  <tableColumns count="7">
    <tableColumn id="1" xr3:uid="{29DE561A-99DC-44D6-A309-1FEA928B261D}" name="BASE" dataDxfId="15"/>
    <tableColumn id="2" xr3:uid="{6F47DB34-33E1-48AB-B195-8C7B24ABA3AB}" name="X1" dataDxfId="0">
      <calculatedColumnFormula>B8/3</calculatedColumnFormula>
    </tableColumn>
    <tableColumn id="3" xr3:uid="{01EAD1B4-133A-430E-A726-2BB3BF114D9E}" name="X2" dataDxfId="14"/>
    <tableColumn id="4" xr3:uid="{096D6073-9481-4AB4-802A-1A8DD76FB3F5}" name="F1" dataDxfId="13"/>
    <tableColumn id="5" xr3:uid="{72C0EF5E-7AFC-4774-AAB7-16F484AF42A9}" name="F2" dataDxfId="12"/>
    <tableColumn id="6" xr3:uid="{AC9FEB4B-E670-403A-8F7C-D91A999BE5B1}" name="F3" dataDxfId="11"/>
    <tableColumn id="7" xr3:uid="{0E3A0FED-124B-48FC-B1E8-68E9731AFCA3}" name="B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8B21-7305-4F3A-8F60-3F78CC826A5E}">
  <dimension ref="A1:H17"/>
  <sheetViews>
    <sheetView tabSelected="1" zoomScale="160" zoomScaleNormal="160" workbookViewId="0">
      <selection activeCell="B20" sqref="B20"/>
    </sheetView>
  </sheetViews>
  <sheetFormatPr defaultRowHeight="15" x14ac:dyDescent="0.25"/>
  <cols>
    <col min="1" max="7" width="10.5703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 x14ac:dyDescent="0.25">
      <c r="A2" s="1" t="s">
        <v>3</v>
      </c>
      <c r="B2" s="1">
        <v>1</v>
      </c>
      <c r="C2" s="2">
        <v>0</v>
      </c>
      <c r="D2" s="1">
        <v>1</v>
      </c>
      <c r="E2" s="1">
        <v>0</v>
      </c>
      <c r="F2" s="1">
        <v>0</v>
      </c>
      <c r="G2" s="1">
        <v>4</v>
      </c>
      <c r="H2" s="1">
        <v>0</v>
      </c>
    </row>
    <row r="3" spans="1:8" x14ac:dyDescent="0.25">
      <c r="A3" s="2" t="s">
        <v>4</v>
      </c>
      <c r="B3" s="2">
        <v>0</v>
      </c>
      <c r="C3" s="2">
        <v>2</v>
      </c>
      <c r="D3" s="2">
        <v>0</v>
      </c>
      <c r="E3" s="2">
        <v>1</v>
      </c>
      <c r="F3" s="2">
        <v>0</v>
      </c>
      <c r="G3" s="2">
        <v>12</v>
      </c>
      <c r="H3" s="1">
        <v>6</v>
      </c>
    </row>
    <row r="4" spans="1:8" x14ac:dyDescent="0.25">
      <c r="A4" s="1" t="s">
        <v>5</v>
      </c>
      <c r="B4" s="1">
        <v>3</v>
      </c>
      <c r="C4" s="2">
        <v>2</v>
      </c>
      <c r="D4" s="1">
        <v>0</v>
      </c>
      <c r="E4" s="1">
        <v>0</v>
      </c>
      <c r="F4" s="1">
        <v>1</v>
      </c>
      <c r="G4" s="1">
        <v>18</v>
      </c>
      <c r="H4" s="1">
        <v>9</v>
      </c>
    </row>
    <row r="5" spans="1:8" x14ac:dyDescent="0.25">
      <c r="A5" s="1" t="s">
        <v>7</v>
      </c>
      <c r="B5" s="1">
        <v>-3</v>
      </c>
      <c r="C5" s="2">
        <v>-5</v>
      </c>
      <c r="D5" s="1">
        <v>0</v>
      </c>
      <c r="E5" s="1">
        <v>0</v>
      </c>
      <c r="F5" s="1">
        <v>0</v>
      </c>
      <c r="G5" s="1">
        <v>0</v>
      </c>
      <c r="H5" s="1"/>
    </row>
    <row r="7" spans="1:8" x14ac:dyDescent="0.25">
      <c r="A7" s="3" t="s">
        <v>0</v>
      </c>
      <c r="B7" s="4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</row>
    <row r="8" spans="1:8" x14ac:dyDescent="0.25">
      <c r="A8" s="3" t="s">
        <v>3</v>
      </c>
      <c r="B8" s="4">
        <v>1</v>
      </c>
      <c r="C8" s="3">
        <f t="shared" ref="B8:G11" si="0">C2/2</f>
        <v>0</v>
      </c>
      <c r="D8" s="3">
        <v>1</v>
      </c>
      <c r="E8" s="3">
        <v>0</v>
      </c>
      <c r="F8" s="3">
        <v>0</v>
      </c>
      <c r="G8" s="3">
        <v>4</v>
      </c>
      <c r="H8">
        <f>Tabela14[[#This Row],[B]]/Tabela14[[#This Row],[X1]]</f>
        <v>4</v>
      </c>
    </row>
    <row r="9" spans="1:8" x14ac:dyDescent="0.25">
      <c r="A9" s="3" t="s">
        <v>2</v>
      </c>
      <c r="B9" s="4">
        <f t="shared" si="0"/>
        <v>0</v>
      </c>
      <c r="C9" s="3">
        <f t="shared" si="0"/>
        <v>1</v>
      </c>
      <c r="D9" s="3">
        <f t="shared" si="0"/>
        <v>0</v>
      </c>
      <c r="E9" s="3">
        <f t="shared" si="0"/>
        <v>0.5</v>
      </c>
      <c r="F9" s="3">
        <f t="shared" si="0"/>
        <v>0</v>
      </c>
      <c r="G9" s="3">
        <f t="shared" si="0"/>
        <v>6</v>
      </c>
    </row>
    <row r="10" spans="1:8" x14ac:dyDescent="0.25">
      <c r="A10" s="3" t="s">
        <v>5</v>
      </c>
      <c r="B10" s="4">
        <f>B4-B9*2</f>
        <v>3</v>
      </c>
      <c r="C10" s="3">
        <f>C4-C9*2</f>
        <v>0</v>
      </c>
      <c r="D10" s="3">
        <f t="shared" ref="D10:G10" si="1">D4-D9*2</f>
        <v>0</v>
      </c>
      <c r="E10" s="3">
        <f>E4-E9*2</f>
        <v>-1</v>
      </c>
      <c r="F10" s="3">
        <f t="shared" si="1"/>
        <v>1</v>
      </c>
      <c r="G10" s="3">
        <f t="shared" si="1"/>
        <v>6</v>
      </c>
      <c r="H10">
        <f>Tabela14[[#This Row],[B]]/Tabela14[[#This Row],[X1]]</f>
        <v>2</v>
      </c>
    </row>
    <row r="11" spans="1:8" x14ac:dyDescent="0.25">
      <c r="A11" s="3" t="s">
        <v>7</v>
      </c>
      <c r="B11" s="4">
        <f>B9*5+B5</f>
        <v>-3</v>
      </c>
      <c r="C11" s="3">
        <f>C9*5+C5</f>
        <v>0</v>
      </c>
      <c r="D11" s="3">
        <f t="shared" ref="D11:G11" si="2">D9*5+D5</f>
        <v>0</v>
      </c>
      <c r="E11" s="3">
        <f t="shared" si="2"/>
        <v>2.5</v>
      </c>
      <c r="F11" s="3">
        <f t="shared" si="2"/>
        <v>0</v>
      </c>
      <c r="G11" s="3">
        <f t="shared" si="2"/>
        <v>30</v>
      </c>
    </row>
    <row r="13" spans="1:8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</row>
    <row r="14" spans="1:8" x14ac:dyDescent="0.25">
      <c r="A14" s="3" t="s">
        <v>3</v>
      </c>
      <c r="B14" s="3">
        <f>B8-B16</f>
        <v>0</v>
      </c>
      <c r="C14" s="3">
        <f t="shared" ref="C14:G14" si="3">C8-C16</f>
        <v>0</v>
      </c>
      <c r="D14" s="3">
        <f t="shared" si="3"/>
        <v>1</v>
      </c>
      <c r="E14" s="3">
        <f t="shared" si="3"/>
        <v>0.33333333333333331</v>
      </c>
      <c r="F14" s="3">
        <f t="shared" si="3"/>
        <v>-0.33333333333333331</v>
      </c>
      <c r="G14" s="3">
        <f t="shared" si="3"/>
        <v>2</v>
      </c>
    </row>
    <row r="15" spans="1:8" x14ac:dyDescent="0.25">
      <c r="A15" s="3" t="s">
        <v>2</v>
      </c>
      <c r="B15" s="3">
        <v>0</v>
      </c>
      <c r="C15" s="3">
        <v>1</v>
      </c>
      <c r="D15" s="3">
        <v>0</v>
      </c>
      <c r="E15" s="3">
        <v>0.5</v>
      </c>
      <c r="F15" s="3">
        <v>0</v>
      </c>
      <c r="G15" s="3">
        <v>6</v>
      </c>
    </row>
    <row r="16" spans="1:8" x14ac:dyDescent="0.25">
      <c r="A16" s="3" t="s">
        <v>1</v>
      </c>
      <c r="B16" s="5">
        <f t="shared" ref="B14:G17" si="4">B10/3</f>
        <v>1</v>
      </c>
      <c r="C16" s="3">
        <f t="shared" si="4"/>
        <v>0</v>
      </c>
      <c r="D16" s="3">
        <f t="shared" si="4"/>
        <v>0</v>
      </c>
      <c r="E16" s="3">
        <f t="shared" si="4"/>
        <v>-0.33333333333333331</v>
      </c>
      <c r="F16" s="3">
        <f t="shared" si="4"/>
        <v>0.33333333333333331</v>
      </c>
      <c r="G16" s="3">
        <f t="shared" si="4"/>
        <v>2</v>
      </c>
    </row>
    <row r="17" spans="1:7" x14ac:dyDescent="0.25">
      <c r="A17" s="3" t="s">
        <v>7</v>
      </c>
      <c r="B17" s="3">
        <f>B11+3*B16</f>
        <v>0</v>
      </c>
      <c r="C17" s="3">
        <f t="shared" ref="C17:G17" si="5">C11+3*C16</f>
        <v>0</v>
      </c>
      <c r="D17" s="3">
        <f t="shared" si="5"/>
        <v>0</v>
      </c>
      <c r="E17" s="3">
        <f t="shared" si="5"/>
        <v>1.5</v>
      </c>
      <c r="F17" s="3">
        <f t="shared" si="5"/>
        <v>1</v>
      </c>
      <c r="G17" s="3">
        <f t="shared" si="5"/>
        <v>36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Universidade Franciscana - UFN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2026-10-09T22:44:45Z</dcterms:created>
  <dcterms:modified xsi:type="dcterms:W3CDTF">2026-10-09T23:10:42Z</dcterms:modified>
</cp:coreProperties>
</file>